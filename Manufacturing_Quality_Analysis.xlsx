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Moses\Downloads\"/>
    </mc:Choice>
  </mc:AlternateContent>
  <xr:revisionPtr revIDLastSave="0" documentId="13_ncr:1_{019BA2DE-04AC-4737-B27E-9FD08698D8AF}" xr6:coauthVersionLast="47" xr6:coauthVersionMax="47" xr10:uidLastSave="{00000000-0000-0000-0000-000000000000}"/>
  <bookViews>
    <workbookView xWindow="-110" yWindow="-110" windowWidth="19420" windowHeight="10300" activeTab="3" xr2:uid="{33E00497-DA3B-4877-A211-6B9FE428640D}"/>
  </bookViews>
  <sheets>
    <sheet name="Sheet1" sheetId="1" r:id="rId1"/>
    <sheet name="Sheet2" sheetId="2" r:id="rId2"/>
    <sheet name="Sheet3" sheetId="3" r:id="rId3"/>
    <sheet name="DASHBOARD" sheetId="6" r:id="rId4"/>
  </sheets>
  <definedNames>
    <definedName name="Slicer_Production_Line">#N/A</definedName>
  </definedNames>
  <calcPr calcId="191029"/>
  <pivotCaches>
    <pivotCache cacheId="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9" i="6" l="1"/>
  <c r="A9" i="6"/>
  <c r="J9" i="1"/>
  <c r="J8" i="1"/>
  <c r="I8" i="1"/>
  <c r="I9" i="1"/>
  <c r="H9" i="1"/>
  <c r="H8" i="1"/>
  <c r="G4" i="1"/>
  <c r="G3" i="1"/>
  <c r="G2" i="1"/>
  <c r="D5" i="6"/>
  <c r="A5" i="6"/>
  <c r="G5" i="6" l="1"/>
  <c r="G9" i="6" s="1"/>
</calcChain>
</file>

<file path=xl/sharedStrings.xml><?xml version="1.0" encoding="utf-8"?>
<sst xmlns="http://schemas.openxmlformats.org/spreadsheetml/2006/main" count="42" uniqueCount="25">
  <si>
    <t>Date</t>
  </si>
  <si>
    <t>Production Line</t>
  </si>
  <si>
    <t>Units Produced</t>
  </si>
  <si>
    <t>Defective Units</t>
  </si>
  <si>
    <t>Line A</t>
  </si>
  <si>
    <t>Line B</t>
  </si>
  <si>
    <t>Total Produced</t>
  </si>
  <si>
    <t>Total defects</t>
  </si>
  <si>
    <t>Total rate of defects</t>
  </si>
  <si>
    <t>Prod Line</t>
  </si>
  <si>
    <t>Total Prod</t>
  </si>
  <si>
    <t>Total Defects</t>
  </si>
  <si>
    <t>Defect Rate</t>
  </si>
  <si>
    <t>Row Labels</t>
  </si>
  <si>
    <t>Grand Total</t>
  </si>
  <si>
    <t>Sum of Units Produced</t>
  </si>
  <si>
    <t>Sum of Defective Units</t>
  </si>
  <si>
    <t>Sum of Defect Rate</t>
  </si>
  <si>
    <t>MANUFACTURING QUALITY PERFORMANCE DASHBOARD</t>
  </si>
  <si>
    <t>TOTAL PRODUCTION</t>
  </si>
  <si>
    <t>TOTAL DEFECTIVE UNITS</t>
  </si>
  <si>
    <t>OVERALL DEFECT RATE</t>
  </si>
  <si>
    <t>HIGHEST SELECTED DEFECT RATE</t>
  </si>
  <si>
    <t>QUALITY TARGET</t>
  </si>
  <si>
    <t>TARGET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</si>
</sst>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75" formatCode="_(* #,##0_);_(* \(#,##0\);_(* &quot;-&quot;??_);_(@_)"/>
  </numFmts>
  <fonts count="7" x14ac:knownFonts="1">
    <font>
      <sz val="11"/>
      <color theme="1"/>
      <name val="Aptos Narrow"/>
      <family val="2"/>
      <scheme val="minor"/>
    </font>
    <font>
      <b/>
      <sz val="11"/>
      <color theme="1"/>
      <name val="Aptos Narrow"/>
      <family val="2"/>
      <scheme val="minor"/>
    </font>
    <font>
      <sz val="11"/>
      <color theme="1"/>
      <name val="Aptos Narrow"/>
      <family val="2"/>
      <scheme val="minor"/>
    </font>
    <font>
      <b/>
      <sz val="18"/>
      <color theme="0"/>
      <name val="Aptos Narrow"/>
      <family val="2"/>
      <scheme val="minor"/>
    </font>
    <font>
      <b/>
      <sz val="24"/>
      <color theme="1"/>
      <name val="Aptos Narrow"/>
      <family val="2"/>
      <scheme val="minor"/>
    </font>
    <font>
      <b/>
      <sz val="24"/>
      <color theme="3"/>
      <name val="Aptos Narrow"/>
      <family val="2"/>
      <scheme val="minor"/>
    </font>
    <font>
      <b/>
      <sz val="16"/>
      <color theme="1"/>
      <name val="Aptos Narrow"/>
      <family val="2"/>
      <scheme val="minor"/>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0">
    <xf numFmtId="0" fontId="0" fillId="0" borderId="0" xfId="0"/>
    <xf numFmtId="0" fontId="1" fillId="0" borderId="0" xfId="0" applyFont="1" applyAlignment="1">
      <alignment horizontal="left" vertical="center" wrapText="1"/>
    </xf>
    <xf numFmtId="16" fontId="0" fillId="0" borderId="0" xfId="0" applyNumberFormat="1" applyAlignment="1">
      <alignment horizontal="left" vertical="center" wrapText="1"/>
    </xf>
    <xf numFmtId="0" fontId="0" fillId="0" borderId="0" xfId="0" applyAlignment="1">
      <alignment horizontal="left" vertical="center" wrapText="1"/>
    </xf>
    <xf numFmtId="3" fontId="0" fillId="0" borderId="0" xfId="0" applyNumberFormat="1" applyAlignment="1">
      <alignment horizontal="left" vertical="center" wrapText="1"/>
    </xf>
    <xf numFmtId="3" fontId="0" fillId="0" borderId="0" xfId="0" applyNumberFormat="1"/>
    <xf numFmtId="10" fontId="0" fillId="0" borderId="0" xfId="2" applyNumberFormat="1"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 fillId="0" borderId="0" xfId="0" applyFont="1"/>
    <xf numFmtId="0" fontId="3" fillId="2" borderId="0" xfId="0" applyFont="1" applyFill="1" applyAlignment="1">
      <alignment horizontal="center"/>
    </xf>
    <xf numFmtId="175" fontId="5" fillId="0" borderId="0" xfId="1" applyNumberFormat="1" applyFont="1" applyAlignment="1">
      <alignment horizontal="left"/>
    </xf>
    <xf numFmtId="0" fontId="4" fillId="3" borderId="0" xfId="0" applyFont="1" applyFill="1"/>
    <xf numFmtId="0" fontId="1" fillId="0" borderId="0" xfId="0" applyFont="1" applyAlignment="1">
      <alignment horizontal="right"/>
    </xf>
    <xf numFmtId="10" fontId="4" fillId="0" borderId="0" xfId="2" applyNumberFormat="1" applyFont="1"/>
    <xf numFmtId="10" fontId="4" fillId="0" borderId="0" xfId="0" applyNumberFormat="1" applyFont="1" applyAlignment="1">
      <alignment horizontal="right"/>
    </xf>
    <xf numFmtId="0" fontId="6" fillId="0" borderId="0" xfId="0" applyFont="1"/>
    <xf numFmtId="10" fontId="4" fillId="0" borderId="0" xfId="2" applyNumberFormat="1" applyFont="1" applyAlignment="1">
      <alignment horizontal="right"/>
    </xf>
  </cellXfs>
  <cellStyles count="3">
    <cellStyle name="Comma" xfId="1" builtinId="3"/>
    <cellStyle name="Normal" xfId="0" builtinId="0"/>
    <cellStyle name="Percent" xfId="2" builtinId="5"/>
  </cellStyles>
  <dxfs count="105">
    <dxf>
      <numFmt numFmtId="14" formatCode="0.00%"/>
    </dxf>
    <dxf>
      <numFmt numFmtId="14" formatCode="0.00%"/>
    </dxf>
    <dxf>
      <numFmt numFmtId="14" formatCode="0.00%"/>
    </dxf>
    <dxf>
      <numFmt numFmtId="14" formatCode="0.00%"/>
    </dxf>
    <dxf>
      <numFmt numFmtId="14" formatCode="0.00%"/>
    </dxf>
    <dxf>
      <numFmt numFmtId="14" formatCode="0.0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Defect Rate by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Sheet1!$J$7</c:f>
              <c:strCache>
                <c:ptCount val="1"/>
                <c:pt idx="0">
                  <c:v>Defect Rate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Sheet1!$G$8:$G$9</c:f>
              <c:strCache>
                <c:ptCount val="2"/>
                <c:pt idx="0">
                  <c:v>Line A</c:v>
                </c:pt>
                <c:pt idx="1">
                  <c:v>Line B</c:v>
                </c:pt>
              </c:strCache>
            </c:strRef>
          </c:cat>
          <c:val>
            <c:numRef>
              <c:f>Sheet1!$J$8:$J$9</c:f>
              <c:numCache>
                <c:formatCode>0.00%</c:formatCode>
                <c:ptCount val="2"/>
                <c:pt idx="0">
                  <c:v>2.3676470588235295E-2</c:v>
                </c:pt>
                <c:pt idx="1">
                  <c:v>4.6064516129032257E-2</c:v>
                </c:pt>
              </c:numCache>
            </c:numRef>
          </c:val>
          <c:extLst>
            <c:ext xmlns:c16="http://schemas.microsoft.com/office/drawing/2014/chart" uri="{C3380CC4-5D6E-409C-BE32-E72D297353CC}">
              <c16:uniqueId val="{00000000-367C-47CB-8F08-B37F6E6F04C8}"/>
            </c:ext>
          </c:extLst>
        </c:ser>
        <c:dLbls>
          <c:dLblPos val="outEnd"/>
          <c:showLegendKey val="0"/>
          <c:showVal val="1"/>
          <c:showCatName val="0"/>
          <c:showSerName val="0"/>
          <c:showPercent val="0"/>
          <c:showBubbleSize val="0"/>
        </c:dLbls>
        <c:gapWidth val="219"/>
        <c:overlap val="-27"/>
        <c:axId val="1391490832"/>
        <c:axId val="1391507632"/>
      </c:barChart>
      <c:catAx>
        <c:axId val="139149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507632"/>
        <c:crosses val="autoZero"/>
        <c:auto val="1"/>
        <c:lblAlgn val="ctr"/>
        <c:lblOffset val="100"/>
        <c:noMultiLvlLbl val="0"/>
      </c:catAx>
      <c:valAx>
        <c:axId val="1391507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49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[Manufacturing_Quality_Analysis.xlsx]Sheet3!PivotTable2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t>Defect Rate by Production Line</a:t>
            </a:r>
            <a:endParaRPr lang="en-US" sz="1600" b="1"/>
          </a:p>
        </c:rich>
      </c:tx>
      <c:layout>
        <c:manualLayout>
          <c:xMode val="edge"/>
          <c:yMode val="edge"/>
          <c:x val="0.23485308013372744"/>
          <c:y val="6.08951955954191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Sheet3!$B$10</c:f>
              <c:strCache>
                <c:ptCount val="1"/>
                <c:pt idx="0">
                  <c:v>Total</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Sheet3!$A$11:$A$13</c:f>
              <c:strCache>
                <c:ptCount val="2"/>
                <c:pt idx="0">
                  <c:v>Line A</c:v>
                </c:pt>
                <c:pt idx="1">
                  <c:v>Line B</c:v>
                </c:pt>
              </c:strCache>
            </c:strRef>
          </c:cat>
          <c:val>
            <c:numRef>
              <c:f>Sheet3!$B$11:$B$13</c:f>
              <c:numCache>
                <c:formatCode>0.00%</c:formatCode>
                <c:ptCount val="2"/>
                <c:pt idx="0">
                  <c:v>2.3676470588235295E-2</c:v>
                </c:pt>
                <c:pt idx="1">
                  <c:v>4.6064516129032257E-2</c:v>
                </c:pt>
              </c:numCache>
            </c:numRef>
          </c:val>
          <c:extLst>
            <c:ext xmlns:c16="http://schemas.microsoft.com/office/drawing/2014/chart" uri="{C3380CC4-5D6E-409C-BE32-E72D297353CC}">
              <c16:uniqueId val="{00000000-FDC9-4311-B7A8-284A9B7E0DDC}"/>
            </c:ext>
          </c:extLst>
        </c:ser>
        <c:dLbls>
          <c:dLblPos val="outEnd"/>
          <c:showLegendKey val="0"/>
          <c:showVal val="1"/>
          <c:showCatName val="0"/>
          <c:showSerName val="0"/>
          <c:showPercent val="0"/>
          <c:showBubbleSize val="0"/>
        </c:dLbls>
        <c:gapWidth val="219"/>
        <c:overlap val="-27"/>
        <c:axId val="1392668352"/>
        <c:axId val="1392654912"/>
      </c:barChart>
      <c:catAx>
        <c:axId val="1392668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654912"/>
        <c:crosses val="autoZero"/>
        <c:auto val="1"/>
        <c:lblAlgn val="ctr"/>
        <c:lblOffset val="100"/>
        <c:noMultiLvlLbl val="0"/>
      </c:catAx>
      <c:valAx>
        <c:axId val="1392654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66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444500</xdr:colOff>
      <xdr:row>1</xdr:row>
      <xdr:rowOff>82550</xdr:rowOff>
    </xdr:from>
    <xdr:to>
      <xdr:col>7</xdr:col>
      <xdr:colOff>412750</xdr:colOff>
      <xdr:row>14</xdr:row>
      <xdr:rowOff>44450</xdr:rowOff>
    </xdr:to>
    <xdr:graphicFrame macro="">
      <xdr:nvGraphicFramePr>
        <xdr:cNvPr id="2" name="Chart 1">
          <a:extLst>
            <a:ext uri="{FF2B5EF4-FFF2-40B4-BE49-F238E27FC236}">
              <a16:creationId xmlns:a16="http://schemas.microsoft.com/office/drawing/2014/main" id="{CD9202A4-B300-4191-9648-A72BD0627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114300</xdr:colOff>
      <xdr:row>9</xdr:row>
      <xdr:rowOff>80434</xdr:rowOff>
    </xdr:from>
    <xdr:to>
      <xdr:col>7</xdr:col>
      <xdr:colOff>38100</xdr:colOff>
      <xdr:row>26</xdr:row>
      <xdr:rowOff>63500</xdr:rowOff>
    </xdr:to>
    <xdr:graphicFrame macro="">
      <xdr:nvGraphicFramePr>
        <xdr:cNvPr id="2" name="Chart 1">
          <a:extLst>
            <a:ext uri="{FF2B5EF4-FFF2-40B4-BE49-F238E27FC236}">
              <a16:creationId xmlns:a16="http://schemas.microsoft.com/office/drawing/2014/main" id="{2B50CB15-98B1-444F-8A98-2FB6BE99A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137583</xdr:colOff>
      <xdr:row>8</xdr:row>
      <xdr:rowOff>201083</xdr:rowOff>
    </xdr:from>
    <xdr:to>
      <xdr:col>13</xdr:col>
      <xdr:colOff>277283</xdr:colOff>
      <xdr:row>20</xdr:row>
      <xdr:rowOff>114301</xdr:rowOff>
    </xdr:to>
    <mc:AlternateContent xmlns:mc="http://schemas.openxmlformats.org/markup-compatibility/2006">
      <mc:Choice xmlns:a14="http://schemas.microsoft.com/office/drawing/2010/main" Requires="a14">
        <xdr:graphicFrame macro="">
          <xdr:nvGraphicFramePr>
            <xdr:cNvPr id="3" name="Production Line">
              <a:extLst>
                <a:ext uri="{FF2B5EF4-FFF2-40B4-BE49-F238E27FC236}">
                  <a16:creationId xmlns:a16="http://schemas.microsoft.com/office/drawing/2014/main" id="{7C21CD03-E9E1-4FC3-A46A-F78738504FC4}"/>
                </a:ext>
              </a:extLst>
            </xdr:cNvPr>
            <xdr:cNvGraphicFramePr/>
          </xdr:nvGraphicFramePr>
          <xdr:xfrm>
            <a:off x="0" y="0"/>
            <a:ext cx="0" cy="0"/>
          </xdr:xfrm>
          <a:graphic>
            <a:graphicData uri="http://schemas.microsoft.com/office/drawing/2010/slicer">
              <sle:slicer xmlns:sle="http://schemas.microsoft.com/office/drawing/2010/slicer" name="Production Line"/>
            </a:graphicData>
          </a:graphic>
        </xdr:graphicFrame>
      </mc:Choice>
      <mc:Fallback>
        <xdr:sp macro="" textlink="">
          <xdr:nvSpPr>
            <xdr:cNvPr id="0" name=""/>
            <xdr:cNvSpPr>
              <a:spLocks noTextEdit="1"/>
            </xdr:cNvSpPr>
          </xdr:nvSpPr>
          <xdr:spPr>
            <a:xfrm>
              <a:off x="9367762" y="1981351"/>
              <a:ext cx="3201307" cy="23058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es" refreshedDate="46313.628362615738" createdVersion="8" refreshedVersion="8" minRefreshableVersion="3" recordCount="10" xr:uid="{5AA44634-BFE5-497E-925F-81766B943A0E}">
  <cacheSource type="worksheet">
    <worksheetSource ref="A1:D11" sheet="Sheet1"/>
  </cacheSource>
  <cacheFields count="5">
    <cacheField name="Date" numFmtId="16">
      <sharedItems containsSemiMixedTypes="0" containsNonDate="0" containsDate="1" containsString="0" minDate="2026-10-01T00:00:00" maxDate="2026-10-06T00:00:00"/>
    </cacheField>
    <cacheField name="Production Line" numFmtId="0">
      <sharedItems count="2">
        <s v="Line A"/>
        <s v="Line B"/>
      </sharedItems>
    </cacheField>
    <cacheField name="Units Produced" numFmtId="3">
      <sharedItems containsSemiMixedTypes="0" containsString="0" containsNumber="1" containsInteger="1" minValue="1200" maxValue="1700"/>
    </cacheField>
    <cacheField name="Defective Units" numFmtId="0">
      <sharedItems containsSemiMixedTypes="0" containsString="0" containsNumber="1" containsInteger="1" minValue="27" maxValue="85"/>
    </cacheField>
    <cacheField name="Defect Rate" numFmtId="0" formula="'Defective Units'/'Units Produced'" databaseField="0"/>
  </cacheFields>
  <extLst>
    <ext xmlns:x14="http://schemas.microsoft.com/office/spreadsheetml/2009/9/main" uri="{725AE2AE-9491-48be-B2B4-4EB974FC3084}">
      <x14:pivotCacheDefinition pivotCacheId="15394174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d v="2026-10-01T00:00:00"/>
    <x v="0"/>
    <n v="1200"/>
    <n v="36"/>
  </r>
  <r>
    <d v="2026-10-01T00:00:00"/>
    <x v="1"/>
    <n v="1500"/>
    <n v="60"/>
  </r>
  <r>
    <d v="2026-10-02T00:00:00"/>
    <x v="0"/>
    <n v="1350"/>
    <n v="27"/>
  </r>
  <r>
    <d v="2026-10-02T00:00:00"/>
    <x v="1"/>
    <n v="1400"/>
    <n v="70"/>
  </r>
  <r>
    <d v="2026-10-03T00:00:00"/>
    <x v="0"/>
    <n v="1450"/>
    <n v="29"/>
  </r>
  <r>
    <d v="2026-10-03T00:00:00"/>
    <x v="1"/>
    <n v="1600"/>
    <n v="80"/>
  </r>
  <r>
    <d v="2026-10-04T00:00:00"/>
    <x v="0"/>
    <n v="1300"/>
    <n v="39"/>
  </r>
  <r>
    <d v="2026-10-04T00:00:00"/>
    <x v="1"/>
    <n v="1550"/>
    <n v="62"/>
  </r>
  <r>
    <d v="2026-10-05T00:00:00"/>
    <x v="0"/>
    <n v="1500"/>
    <n v="30"/>
  </r>
  <r>
    <d v="2026-10-05T00:00:00"/>
    <x v="1"/>
    <n v="1700"/>
    <n v="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39F859-05F3-4BB4-9604-EA821FD9DB49}"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B13" firstHeaderRow="1" firstDataRow="1" firstDataCol="1"/>
  <pivotFields count="5">
    <pivotField numFmtId="16" showAll="0"/>
    <pivotField axis="axisRow" showAll="0">
      <items count="3">
        <item x="0"/>
        <item x="1"/>
        <item t="default"/>
      </items>
    </pivotField>
    <pivotField numFmtId="3" showAll="0"/>
    <pivotField showAll="0"/>
    <pivotField dataField="1" dragToRow="0" dragToCol="0" dragToPage="0" showAll="0" defaultSubtotal="0"/>
  </pivotFields>
  <rowFields count="1">
    <field x="1"/>
  </rowFields>
  <rowItems count="3">
    <i>
      <x/>
    </i>
    <i>
      <x v="1"/>
    </i>
    <i t="grand">
      <x/>
    </i>
  </rowItems>
  <colItems count="1">
    <i/>
  </colItems>
  <dataFields count="1">
    <dataField name="Sum of Defect Rate" fld="4" baseField="0" baseItem="0"/>
  </dataFields>
  <formats count="3">
    <format dxfId="99">
      <pivotArea collapsedLevelsAreSubtotals="1" fieldPosition="0">
        <references count="2">
          <reference field="4294967294" count="1" selected="0">
            <x v="0"/>
          </reference>
          <reference field="1" count="1">
            <x v="0"/>
          </reference>
        </references>
      </pivotArea>
    </format>
    <format dxfId="100">
      <pivotArea collapsedLevelsAreSubtotals="1" fieldPosition="0">
        <references count="2">
          <reference field="4294967294" count="1" selected="0">
            <x v="0"/>
          </reference>
          <reference field="1" count="1">
            <x v="1"/>
          </reference>
        </references>
      </pivotArea>
    </format>
    <format dxfId="101">
      <pivotArea field="1" grandRow="1" outline="0" collapsedLevelsAreSubtotals="1" axis="axisRow"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B32205-33FC-42D1-A84C-26D3588FB4F4}"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6" firstHeaderRow="0" firstDataRow="1" firstDataCol="1"/>
  <pivotFields count="5">
    <pivotField numFmtId="16" showAll="0"/>
    <pivotField axis="axisRow" showAll="0">
      <items count="3">
        <item x="0"/>
        <item x="1"/>
        <item t="default"/>
      </items>
    </pivotField>
    <pivotField dataField="1" numFmtId="3" showAll="0"/>
    <pivotField dataField="1" showAll="0"/>
    <pivotField dataField="1" dragToRow="0" dragToCol="0" dragToPage="0" showAll="0" defaultSubtotal="0"/>
  </pivotFields>
  <rowFields count="1">
    <field x="1"/>
  </rowFields>
  <rowItems count="3">
    <i>
      <x/>
    </i>
    <i>
      <x v="1"/>
    </i>
    <i t="grand">
      <x/>
    </i>
  </rowItems>
  <colFields count="1">
    <field x="-2"/>
  </colFields>
  <colItems count="3">
    <i>
      <x/>
    </i>
    <i i="1">
      <x v="1"/>
    </i>
    <i i="2">
      <x v="2"/>
    </i>
  </colItems>
  <dataFields count="3">
    <dataField name="Sum of Units Produced" fld="2" baseField="0" baseItem="0" numFmtId="3"/>
    <dataField name="Sum of Defective Units" fld="3" baseField="0" baseItem="0"/>
    <dataField name="Sum of Defect Rate" fld="4" baseField="0" baseItem="0"/>
  </dataFields>
  <formats count="3">
    <format dxfId="104">
      <pivotArea collapsedLevelsAreSubtotals="1" fieldPosition="0">
        <references count="2">
          <reference field="4294967294" count="1" selected="0">
            <x v="2"/>
          </reference>
          <reference field="1" count="1">
            <x v="0"/>
          </reference>
        </references>
      </pivotArea>
    </format>
    <format dxfId="103">
      <pivotArea collapsedLevelsAreSubtotals="1" fieldPosition="0">
        <references count="2">
          <reference field="4294967294" count="1" selected="0">
            <x v="2"/>
          </reference>
          <reference field="1" count="1">
            <x v="1"/>
          </reference>
        </references>
      </pivotArea>
    </format>
    <format dxfId="102">
      <pivotArea field="1"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ion_Line" xr10:uid="{9E50E7A1-968E-46B4-9E66-1CB018FC7FD2}" sourceName="Production Line">
  <pivotTables>
    <pivotTable tabId="3" name="PivotTable1"/>
    <pivotTable tabId="3" name="PivotTable2"/>
  </pivotTables>
  <data>
    <tabular pivotCacheId="153941746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ion Line" xr10:uid="{276B9B23-F805-494A-AFC9-7DA2EA497A5D}" cache="Slicer_Production_Line" caption="Production Lin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9931F-0589-4B3A-BB29-10BC6F791991}">
  <dimension ref="A1:J11"/>
  <sheetViews>
    <sheetView workbookViewId="0">
      <selection activeCell="E8" sqref="E8"/>
    </sheetView>
  </sheetViews>
  <sheetFormatPr defaultRowHeight="14.5" x14ac:dyDescent="0.35"/>
  <cols>
    <col min="1" max="1" width="15.26953125" customWidth="1"/>
    <col min="2" max="2" width="18.7265625" customWidth="1"/>
    <col min="3" max="3" width="17" customWidth="1"/>
    <col min="4" max="4" width="17.6328125" customWidth="1"/>
    <col min="6" max="6" width="17" bestFit="1" customWidth="1"/>
    <col min="9" max="9" width="11.54296875" bestFit="1" customWidth="1"/>
    <col min="10" max="10" width="10.36328125" bestFit="1" customWidth="1"/>
  </cols>
  <sheetData>
    <row r="1" spans="1:10" x14ac:dyDescent="0.35">
      <c r="A1" s="1" t="s">
        <v>0</v>
      </c>
      <c r="B1" s="1" t="s">
        <v>1</v>
      </c>
      <c r="C1" s="1" t="s">
        <v>2</v>
      </c>
      <c r="D1" s="1" t="s">
        <v>3</v>
      </c>
    </row>
    <row r="2" spans="1:10" x14ac:dyDescent="0.35">
      <c r="A2" s="2">
        <v>46296</v>
      </c>
      <c r="B2" s="3" t="s">
        <v>4</v>
      </c>
      <c r="C2" s="4">
        <v>1200</v>
      </c>
      <c r="D2" s="3">
        <v>36</v>
      </c>
      <c r="F2" t="s">
        <v>6</v>
      </c>
      <c r="G2" s="5">
        <f>SUM(C2:C11)</f>
        <v>14550</v>
      </c>
    </row>
    <row r="3" spans="1:10" x14ac:dyDescent="0.35">
      <c r="A3" s="2">
        <v>46296</v>
      </c>
      <c r="B3" s="3" t="s">
        <v>5</v>
      </c>
      <c r="C3" s="4">
        <v>1500</v>
      </c>
      <c r="D3" s="3">
        <v>60</v>
      </c>
      <c r="F3" t="s">
        <v>7</v>
      </c>
      <c r="G3">
        <f>SUM(D2:D11)</f>
        <v>518</v>
      </c>
    </row>
    <row r="4" spans="1:10" x14ac:dyDescent="0.35">
      <c r="A4" s="2">
        <v>46297</v>
      </c>
      <c r="B4" s="3" t="s">
        <v>4</v>
      </c>
      <c r="C4" s="4">
        <v>1350</v>
      </c>
      <c r="D4" s="3">
        <v>27</v>
      </c>
      <c r="F4" t="s">
        <v>8</v>
      </c>
      <c r="G4" s="6">
        <f>G3/G2</f>
        <v>3.5601374570446737E-2</v>
      </c>
    </row>
    <row r="5" spans="1:10" x14ac:dyDescent="0.35">
      <c r="A5" s="2">
        <v>46297</v>
      </c>
      <c r="B5" s="3" t="s">
        <v>5</v>
      </c>
      <c r="C5" s="4">
        <v>1400</v>
      </c>
      <c r="D5" s="3">
        <v>70</v>
      </c>
    </row>
    <row r="6" spans="1:10" x14ac:dyDescent="0.35">
      <c r="A6" s="2">
        <v>46298</v>
      </c>
      <c r="B6" s="3" t="s">
        <v>4</v>
      </c>
      <c r="C6" s="4">
        <v>1450</v>
      </c>
      <c r="D6" s="3">
        <v>29</v>
      </c>
    </row>
    <row r="7" spans="1:10" x14ac:dyDescent="0.35">
      <c r="A7" s="2">
        <v>46298</v>
      </c>
      <c r="B7" s="3" t="s">
        <v>5</v>
      </c>
      <c r="C7" s="4">
        <v>1600</v>
      </c>
      <c r="D7" s="3">
        <v>80</v>
      </c>
      <c r="G7" t="s">
        <v>9</v>
      </c>
      <c r="H7" t="s">
        <v>10</v>
      </c>
      <c r="I7" t="s">
        <v>11</v>
      </c>
      <c r="J7" t="s">
        <v>12</v>
      </c>
    </row>
    <row r="8" spans="1:10" x14ac:dyDescent="0.35">
      <c r="A8" s="2">
        <v>46299</v>
      </c>
      <c r="B8" s="3" t="s">
        <v>4</v>
      </c>
      <c r="C8" s="4">
        <v>1300</v>
      </c>
      <c r="D8" s="3">
        <v>39</v>
      </c>
      <c r="G8" t="s">
        <v>4</v>
      </c>
      <c r="H8">
        <f>SUMIF(B2:B11,G8,C2:C11)</f>
        <v>6800</v>
      </c>
      <c r="I8">
        <f>SUMIF(B2:B11,G8,D2:D11)</f>
        <v>161</v>
      </c>
      <c r="J8" s="6">
        <f>I8/H8</f>
        <v>2.3676470588235295E-2</v>
      </c>
    </row>
    <row r="9" spans="1:10" x14ac:dyDescent="0.35">
      <c r="A9" s="2">
        <v>46299</v>
      </c>
      <c r="B9" s="3" t="s">
        <v>5</v>
      </c>
      <c r="C9" s="4">
        <v>1550</v>
      </c>
      <c r="D9" s="3">
        <v>62</v>
      </c>
      <c r="G9" t="s">
        <v>5</v>
      </c>
      <c r="H9">
        <f>SUMIF(B2:B11,G9,C2:C11)</f>
        <v>7750</v>
      </c>
      <c r="I9">
        <f>SUMIF(B2:B11,G9,D2:D11)</f>
        <v>357</v>
      </c>
      <c r="J9" s="6">
        <f>I9/H9</f>
        <v>4.6064516129032257E-2</v>
      </c>
    </row>
    <row r="10" spans="1:10" x14ac:dyDescent="0.35">
      <c r="A10" s="2">
        <v>46300</v>
      </c>
      <c r="B10" s="3" t="s">
        <v>4</v>
      </c>
      <c r="C10" s="4">
        <v>1500</v>
      </c>
      <c r="D10" s="3">
        <v>30</v>
      </c>
    </row>
    <row r="11" spans="1:10" x14ac:dyDescent="0.35">
      <c r="A11" s="2">
        <v>46300</v>
      </c>
      <c r="B11" s="3" t="s">
        <v>5</v>
      </c>
      <c r="C11" s="4">
        <v>1700</v>
      </c>
      <c r="D11" s="3">
        <v>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32B63-AA97-4424-A64B-663510C85DCD}">
  <dimension ref="A1"/>
  <sheetViews>
    <sheetView workbookViewId="0">
      <selection activeCell="C18" sqref="C18"/>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3C5D4-C685-4331-978F-8D34E937E473}">
  <dimension ref="A3:D13"/>
  <sheetViews>
    <sheetView topLeftCell="A2" workbookViewId="0">
      <selection activeCell="O10" sqref="O10"/>
    </sheetView>
  </sheetViews>
  <sheetFormatPr defaultRowHeight="14.5" x14ac:dyDescent="0.35"/>
  <cols>
    <col min="1" max="1" width="12.453125" bestFit="1" customWidth="1"/>
    <col min="2" max="2" width="16.81640625" bestFit="1" customWidth="1"/>
    <col min="3" max="3" width="20" bestFit="1" customWidth="1"/>
    <col min="4" max="4" width="16.81640625" bestFit="1" customWidth="1"/>
  </cols>
  <sheetData>
    <row r="3" spans="1:4" x14ac:dyDescent="0.35">
      <c r="A3" s="7" t="s">
        <v>13</v>
      </c>
      <c r="B3" t="s">
        <v>15</v>
      </c>
      <c r="C3" t="s">
        <v>16</v>
      </c>
      <c r="D3" t="s">
        <v>17</v>
      </c>
    </row>
    <row r="4" spans="1:4" x14ac:dyDescent="0.35">
      <c r="A4" s="8" t="s">
        <v>4</v>
      </c>
      <c r="B4" s="5">
        <v>6800</v>
      </c>
      <c r="C4" s="9">
        <v>161</v>
      </c>
      <c r="D4" s="10">
        <v>2.3676470588235295E-2</v>
      </c>
    </row>
    <row r="5" spans="1:4" x14ac:dyDescent="0.35">
      <c r="A5" s="8" t="s">
        <v>5</v>
      </c>
      <c r="B5" s="5">
        <v>7750</v>
      </c>
      <c r="C5" s="9">
        <v>357</v>
      </c>
      <c r="D5" s="10">
        <v>4.6064516129032257E-2</v>
      </c>
    </row>
    <row r="6" spans="1:4" x14ac:dyDescent="0.35">
      <c r="A6" s="8" t="s">
        <v>14</v>
      </c>
      <c r="B6" s="5">
        <v>14550</v>
      </c>
      <c r="C6" s="9">
        <v>518</v>
      </c>
      <c r="D6" s="10">
        <v>3.5601374570446737E-2</v>
      </c>
    </row>
    <row r="10" spans="1:4" x14ac:dyDescent="0.35">
      <c r="A10" s="7" t="s">
        <v>13</v>
      </c>
      <c r="B10" t="s">
        <v>17</v>
      </c>
    </row>
    <row r="11" spans="1:4" x14ac:dyDescent="0.35">
      <c r="A11" s="8" t="s">
        <v>4</v>
      </c>
      <c r="B11" s="10">
        <v>2.3676470588235295E-2</v>
      </c>
    </row>
    <row r="12" spans="1:4" x14ac:dyDescent="0.35">
      <c r="A12" s="8" t="s">
        <v>5</v>
      </c>
      <c r="B12" s="10">
        <v>4.6064516129032257E-2</v>
      </c>
    </row>
    <row r="13" spans="1:4" x14ac:dyDescent="0.35">
      <c r="A13" s="8" t="s">
        <v>14</v>
      </c>
      <c r="B13" s="10">
        <v>3.5601374570446737E-2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F5BC2-FC12-4E09-925F-5F625FA65881}">
  <dimension ref="A1:J9"/>
  <sheetViews>
    <sheetView tabSelected="1" zoomScale="56" zoomScaleNormal="56" workbookViewId="0">
      <selection activeCell="U15" sqref="U15"/>
    </sheetView>
  </sheetViews>
  <sheetFormatPr defaultRowHeight="14.5" x14ac:dyDescent="0.35"/>
  <cols>
    <col min="1" max="1" width="47.7265625" bestFit="1" customWidth="1"/>
    <col min="4" max="4" width="20.81640625" bestFit="1" customWidth="1"/>
    <col min="7" max="7" width="19.7265625" bestFit="1" customWidth="1"/>
  </cols>
  <sheetData>
    <row r="1" spans="1:10" ht="23.5" x14ac:dyDescent="0.55000000000000004">
      <c r="A1" s="12" t="s">
        <v>18</v>
      </c>
      <c r="B1" s="12"/>
      <c r="C1" s="12"/>
      <c r="D1" s="12"/>
      <c r="E1" s="12"/>
      <c r="F1" s="12"/>
      <c r="G1" s="12"/>
      <c r="H1" s="12"/>
      <c r="I1" s="12"/>
      <c r="J1" s="12"/>
    </row>
    <row r="4" spans="1:10" x14ac:dyDescent="0.35">
      <c r="A4" s="15" t="s">
        <v>19</v>
      </c>
      <c r="D4" s="15" t="s">
        <v>20</v>
      </c>
      <c r="G4" s="11" t="s">
        <v>21</v>
      </c>
    </row>
    <row r="5" spans="1:10" ht="31" x14ac:dyDescent="0.7">
      <c r="A5" s="13">
        <f>GETPIVOTDATA("Sum of Units Produced",Sheet3!$A$3)</f>
        <v>14550</v>
      </c>
      <c r="D5" s="14">
        <f>GETPIVOTDATA("Sum of Defective Units",Sheet3!$A$3)</f>
        <v>518</v>
      </c>
      <c r="G5" s="16">
        <f>IFERROR(D5/A5,0)</f>
        <v>3.5601374570446737E-2</v>
      </c>
    </row>
    <row r="8" spans="1:10" x14ac:dyDescent="0.35">
      <c r="A8" s="15" t="s">
        <v>22</v>
      </c>
      <c r="D8" s="15" t="s">
        <v>23</v>
      </c>
      <c r="E8" s="11"/>
      <c r="F8" s="11"/>
      <c r="G8" s="11" t="s">
        <v>24</v>
      </c>
    </row>
    <row r="9" spans="1:10" ht="31" x14ac:dyDescent="0.7">
      <c r="A9" s="17">
        <f>MAX(Sheet3!B11:B12)</f>
        <v>4.6064516129032257E-2</v>
      </c>
      <c r="C9" s="8"/>
      <c r="D9" s="19">
        <f>2%</f>
        <v>0.02</v>
      </c>
      <c r="E9" s="11"/>
      <c r="F9" s="11"/>
      <c r="G9" s="18" t="str">
        <f>IF(G5&lt;=D9,"MEETS TARGET","ABOVE TARGET")</f>
        <v>ABOVE TARGET</v>
      </c>
    </row>
  </sheetData>
  <mergeCells count="1">
    <mergeCell ref="A1:J1"/>
  </mergeCells>
  <conditionalFormatting sqref="G9">
    <cfRule type="containsText" priority="3" operator="containsText" text="ABOVE TARGET">
      <formula>NOT(ISERROR(SEARCH("ABOVE TARGET",G9)))</formula>
    </cfRule>
    <cfRule type="containsText" dxfId="6" priority="2" operator="containsText" text="ABOVE TARGET">
      <formula>NOT(ISERROR(SEARCH("ABOVE TARGET",G9)))</formula>
    </cfRule>
    <cfRule type="containsText" dxfId="7" priority="1" operator="containsText" text="MEETS TARGET">
      <formula>NOT(ISERROR(SEARCH("MEETS TARGET",G9)))</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Moses Dogho</dc:creator>
  <cp:lastModifiedBy>Moses Dogho</cp:lastModifiedBy>
  <dcterms:created xsi:type="dcterms:W3CDTF">2026-10-18T04:40:37Z</dcterms:created>
  <dcterms:modified xsi:type="dcterms:W3CDTF">2026-10-20T05:32:53Z</dcterms:modified>
</cp:coreProperties>
</file>